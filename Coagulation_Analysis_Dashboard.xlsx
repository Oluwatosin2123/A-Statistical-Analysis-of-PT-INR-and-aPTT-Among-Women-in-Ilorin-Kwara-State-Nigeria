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>
    <definedName name="_xlnm.Print_Area" localSheetId="0">'Dashboard'!$A$1:$O$48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6"/>
    </font>
    <font>
      <name val="Cambria"/>
      <charset val="1"/>
      <family val="0"/>
      <i val="1"/>
      <color rgb="FF6B7280"/>
      <sz val="10"/>
    </font>
    <font>
      <name val="Cambria"/>
      <charset val="1"/>
      <family val="0"/>
      <b val="1"/>
      <color rgb="FF6B7280"/>
      <sz val="9"/>
    </font>
    <font>
      <name val="Cambria"/>
      <charset val="1"/>
      <family val="0"/>
      <b val="1"/>
      <color rgb="FFC0392B"/>
      <sz val="20"/>
    </font>
    <font>
      <name val="Cambria"/>
      <charset val="1"/>
      <family val="0"/>
      <b val="1"/>
      <color rgb="FF2C6FAD"/>
      <sz val="20"/>
    </font>
    <font>
      <name val="Cambria"/>
      <charset val="1"/>
      <family val="0"/>
      <b val="1"/>
      <color rgb="FF2E8B57"/>
      <sz val="20"/>
    </font>
    <font>
      <name val="Cambria"/>
      <charset val="1"/>
      <family val="0"/>
      <i val="1"/>
      <color rgb="FF6B7280"/>
      <sz val="8.5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color rgb="FF1F2937"/>
      <sz val="9.5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mbria"/>
      <charset val="1"/>
      <family val="0"/>
      <b val="1"/>
      <color rgb="FF1A2B4A"/>
      <sz val="11"/>
    </font>
  </fonts>
  <fills count="5">
    <fill>
      <patternFill/>
    </fill>
    <fill>
      <patternFill patternType="gray125"/>
    </fill>
    <fill>
      <patternFill patternType="solid">
        <fgColor rgb="FF1A2B4A"/>
        <bgColor rgb="FF1F2937"/>
      </patternFill>
    </fill>
    <fill>
      <patternFill patternType="solid">
        <fgColor rgb="FFF4F6F9"/>
        <bgColor rgb="FFF9F9F9"/>
      </patternFill>
    </fill>
    <fill>
      <patternFill patternType="solid">
        <fgColor rgb="FF2C6FAD"/>
        <bgColor rgb="FF4F81BD"/>
      </patternFill>
    </fill>
  </fills>
  <borders count="1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bottom"/>
    </xf>
    <xf numFmtId="0" fontId="11" fillId="2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top" wrapText="1" indent="1"/>
    </xf>
    <xf numFmtId="0" fontId="16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0" fontId="7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0" fillId="3" borderId="1" applyAlignment="1" pivotButton="0" quotePrefix="0" xfId="0">
      <alignment horizontal="center" vertical="bottom"/>
    </xf>
    <xf numFmtId="0" fontId="11" fillId="2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top" wrapText="1" indent="1"/>
    </xf>
    <xf numFmtId="0" fontId="0" fillId="0" borderId="6" pivotButton="0" quotePrefix="0" xfId="0"/>
    <xf numFmtId="0" fontId="0" fillId="0" borderId="7" pivotButton="0" quotePrefix="0" xfId="0"/>
    <xf numFmtId="0" fontId="16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D97"/>
      <rgbColor rgb="FF878787"/>
      <rgbColor rgb="FF9999FF"/>
      <rgbColor rgb="FFAB4744"/>
      <rgbColor rgb="FFF9F9F9"/>
      <rgbColor rgb="FFF4F6F9"/>
      <rgbColor rgb="FF660066"/>
      <rgbColor rgb="FFD09493"/>
      <rgbColor rgb="FF2C6FAD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7280"/>
      <rgbColor rgb="FF8AA64F"/>
      <rgbColor rgb="FF1A2B4A"/>
      <rgbColor rgb="FF2E8B57"/>
      <rgbColor rgb="FF003300"/>
      <rgbColor rgb="FF333300"/>
      <rgbColor rgb="FFC0392B"/>
      <rgbColor rgb="FFC0504D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PT &amp; INR: OC Users vs Non-Users (p &lt; 0.001)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'Dashboard'!C60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'Dashboard'!$B$61:$B$62</f>
            </numRef>
          </cat>
          <val>
            <numRef>
              <f>'Dashboard'!$C$61:$C$62</f>
            </numRef>
          </val>
        </ser>
        <ser>
          <idx val="1"/>
          <order val="1"/>
          <tx>
            <strRef>
              <f>'Dashboard'!D60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'Dashboard'!$B$61:$B$62</f>
            </numRef>
          </cat>
          <val>
            <numRef>
              <f>'Dashboard'!$D$61:$D$62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aPTT: OC Users vs Non-Users (marginal diff.)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'Dashboard'!H60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'Dashboard'!$G$61:$G$62</f>
            </numRef>
          </cat>
          <val>
            <numRef>
              <f>'Dashboard'!$H$61:$H$62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PT &amp; INR by Duration of OC Use (ANOVA: ns, p&gt;0.05)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'Dashboard'!$B$66:$B$69</f>
            </numRef>
          </cat>
          <val>
            <numRef>
              <f>'Dashboard'!$C$66:$C$69</f>
            </numRef>
          </val>
        </ser>
        <ser>
          <idx val="1"/>
          <order val="1"/>
          <tx>
            <strRef>
              <f>'Dashboard'!D65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'Dashboard'!$B$66:$B$69</f>
            </numRef>
          </cat>
          <val>
            <numRef>
              <f>'Dashboard'!$D$66:$D$69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PT &amp; INR by OC Brand (significant, p&lt;0.05)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'Dashboard'!$G$66:$G$67</f>
            </numRef>
          </cat>
          <val>
            <numRef>
              <f>'Dashboard'!$H$66:$H$67</f>
            </numRef>
          </val>
        </ser>
        <ser>
          <idx val="1"/>
          <order val="1"/>
          <tx>
            <strRef>
              <f>'Dashboard'!I65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'Dashboard'!$G$66:$G$67</f>
            </numRef>
          </cat>
          <val>
            <numRef>
              <f>'Dashboard'!$I$66:$I$67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34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25</row>
      <rowOff>0</rowOff>
    </from>
    <ext cx="50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25</row>
      <rowOff>0</rowOff>
    </from>
    <ext cx="34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N6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3" min="1" max="1"/>
    <col width="14" customWidth="1" style="13" min="2" max="5"/>
    <col width="2" customWidth="1" style="13" min="6" max="6"/>
    <col width="14" customWidth="1" style="13" min="7" max="10"/>
    <col width="2" customWidth="1" style="13" min="11" max="11"/>
    <col width="14" customWidth="1" style="13" min="12" max="14"/>
  </cols>
  <sheetData>
    <row r="2" ht="30" customHeight="1" s="14">
      <c r="B2" s="15" t="inlineStr">
        <is>
          <t>OC USE &amp; COAGULATION PARAMETERS — STATISTICAL ANALYSIS DASHBOARD</t>
        </is>
      </c>
    </row>
    <row r="3" ht="18" customHeight="1" s="14">
      <c r="B3" s="16" t="inlineStr">
        <is>
          <t>University of Ilorin Research Project | n = 80 (35 OC Users, 45 Non-Users) | One-Way ANOVA &amp; Multivariate Regression</t>
        </is>
      </c>
    </row>
    <row r="5" ht="15.75" customHeight="1" s="14">
      <c r="B5" s="17" t="inlineStr">
        <is>
          <t>MEAN PT — OC USERS</t>
        </is>
      </c>
      <c r="C5" s="18" t="n"/>
      <c r="D5" s="19" t="n"/>
      <c r="E5" s="17" t="inlineStr">
        <is>
          <t>MEAN INR — OC USERS</t>
        </is>
      </c>
      <c r="F5" s="18" t="n"/>
      <c r="G5" s="19" t="n"/>
      <c r="H5" s="17" t="inlineStr">
        <is>
          <t>MEAN aPTT — OC USERS</t>
        </is>
      </c>
      <c r="I5" s="18" t="n"/>
      <c r="J5" s="19" t="n"/>
      <c r="K5" s="17" t="inlineStr">
        <is>
          <t>P-VALUE (PT &amp; INR)</t>
        </is>
      </c>
      <c r="L5" s="18" t="n"/>
      <c r="M5" s="19" t="n"/>
    </row>
    <row r="6" ht="19.5" customHeight="1" s="14">
      <c r="B6" s="20" t="inlineStr">
        <is>
          <t>8.80 sec</t>
        </is>
      </c>
      <c r="C6" s="21" t="n"/>
      <c r="D6" s="22" t="n"/>
      <c r="E6" s="20" t="inlineStr">
        <is>
          <t>0.68</t>
        </is>
      </c>
      <c r="F6" s="21" t="n"/>
      <c r="G6" s="22" t="n"/>
      <c r="H6" s="23" t="inlineStr">
        <is>
          <t>25.57 sec</t>
        </is>
      </c>
      <c r="I6" s="21" t="n"/>
      <c r="J6" s="22" t="n"/>
      <c r="K6" s="24" t="inlineStr">
        <is>
          <t>&lt; 0.001</t>
        </is>
      </c>
      <c r="L6" s="21" t="n"/>
      <c r="M6" s="22" t="n"/>
    </row>
    <row r="7" ht="15.75" customHeight="1" s="14">
      <c r="B7" s="25" t="n"/>
      <c r="C7" s="26" t="n"/>
      <c r="D7" s="27" t="n"/>
      <c r="E7" s="25" t="n"/>
      <c r="F7" s="26" t="n"/>
      <c r="G7" s="27" t="n"/>
      <c r="H7" s="25" t="n"/>
      <c r="I7" s="26" t="n"/>
      <c r="J7" s="27" t="n"/>
      <c r="K7" s="25" t="n"/>
      <c r="L7" s="26" t="n"/>
      <c r="M7" s="27" t="n"/>
    </row>
    <row r="8" ht="13.5" customHeight="1" s="14">
      <c r="B8" s="28" t="inlineStr">
        <is>
          <t>vs 11.78 sec (non-users)</t>
        </is>
      </c>
      <c r="C8" s="18" t="n"/>
      <c r="D8" s="19" t="n"/>
      <c r="E8" s="28" t="inlineStr">
        <is>
          <t>vs 0.97 (non-users)</t>
        </is>
      </c>
      <c r="F8" s="18" t="n"/>
      <c r="G8" s="19" t="n"/>
      <c r="H8" s="28" t="inlineStr">
        <is>
          <t>vs 25.82 sec (non-users)</t>
        </is>
      </c>
      <c r="I8" s="18" t="n"/>
      <c r="J8" s="19" t="n"/>
      <c r="K8" s="28" t="inlineStr">
        <is>
          <t>Highly significant, F=1264.96</t>
        </is>
      </c>
      <c r="L8" s="18" t="n"/>
      <c r="M8" s="19" t="n"/>
    </row>
    <row r="42" ht="15.75" customHeight="1" s="14">
      <c r="B42" s="29" t="inlineStr">
        <is>
          <t>KEY FINDINGS</t>
        </is>
      </c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9" t="n"/>
    </row>
    <row r="43" ht="12.75" customHeight="1" s="14">
      <c r="B43" s="30" t="inlineStr">
        <is>
          <t>• OC users showed significantly lower PT (8.80 vs 11.78 sec) and INR (0.68 vs 0.97) than non-users (p &lt; 0.001) — a pro-coagulant shift.
• aPTT difference (25.57 vs 25.82 sec) was statistically significant but not clinically meaningful — intrinsic pathway minimally affected.
• OC brand mattered: Levofem (COC) users had lower PT/INR than Postinor users (p &lt; 0.05) — consistent with stronger estrogenic effect.
• Duration of use showed no significant within-group effect (p &gt; 0.05) — coagulation changes appear early, regardless of duration.
• Age was not a significant confounder for any parameter (all R² &lt; 0.04, p &gt; 0.05) — group differences attributable to OC use itself.
• Sociodemographic/lifestyle factors showed no significant association with coagulation parameters.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2" t="n"/>
    </row>
    <row r="44" ht="12.75" customHeight="1" s="14">
      <c r="B44" s="31" t="n"/>
      <c r="N44" s="32" t="n"/>
    </row>
    <row r="45" ht="12.75" customHeight="1" s="14">
      <c r="B45" s="31" t="n"/>
      <c r="N45" s="32" t="n"/>
    </row>
    <row r="46" ht="12.75" customHeight="1" s="14">
      <c r="B46" s="31" t="n"/>
      <c r="N46" s="32" t="n"/>
    </row>
    <row r="47" ht="12.75" customHeight="1" s="14">
      <c r="B47" s="31" t="n"/>
      <c r="N47" s="32" t="n"/>
    </row>
    <row r="48" ht="12.75" customHeight="1" s="14">
      <c r="B48" s="25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7" t="n"/>
    </row>
    <row r="60" ht="15" customHeight="1" s="14">
      <c r="B60" s="13" t="inlineStr">
        <is>
          <t>Group</t>
        </is>
      </c>
      <c r="C60" s="13" t="inlineStr">
        <is>
          <t>PT (sec)</t>
        </is>
      </c>
      <c r="D60" s="13" t="inlineStr">
        <is>
          <t>INR x10</t>
        </is>
      </c>
      <c r="G60" s="13" t="inlineStr">
        <is>
          <t>Group</t>
        </is>
      </c>
      <c r="H60" s="13" t="inlineStr">
        <is>
          <t>aPTT (sec)</t>
        </is>
      </c>
    </row>
    <row r="61" ht="15" customHeight="1" s="14">
      <c r="B61" s="13" t="inlineStr">
        <is>
          <t>OC Users</t>
        </is>
      </c>
      <c r="C61" s="13" t="n">
        <v>8.800000000000001</v>
      </c>
      <c r="D61" s="13" t="n">
        <v>6.8</v>
      </c>
      <c r="G61" s="13" t="inlineStr">
        <is>
          <t>OC Users</t>
        </is>
      </c>
      <c r="H61" s="13" t="n">
        <v>25.57</v>
      </c>
    </row>
    <row r="62" ht="15" customHeight="1" s="14">
      <c r="B62" s="13" t="inlineStr">
        <is>
          <t>Non-Users</t>
        </is>
      </c>
      <c r="C62" s="13" t="n">
        <v>11.78</v>
      </c>
      <c r="D62" s="13" t="n">
        <v>9.699999999999999</v>
      </c>
      <c r="G62" s="13" t="inlineStr">
        <is>
          <t>Non-Users</t>
        </is>
      </c>
      <c r="H62" s="13" t="n">
        <v>25.82</v>
      </c>
    </row>
    <row r="65" ht="15" customHeight="1" s="14">
      <c r="B65" s="13" t="inlineStr">
        <is>
          <t>Duration</t>
        </is>
      </c>
      <c r="C65" s="13" t="inlineStr">
        <is>
          <t>Mean PT</t>
        </is>
      </c>
      <c r="D65" s="13" t="inlineStr">
        <is>
          <t>Mean INR x10</t>
        </is>
      </c>
      <c r="G65" s="13" t="inlineStr">
        <is>
          <t>Brand</t>
        </is>
      </c>
      <c r="H65" s="13" t="inlineStr">
        <is>
          <t>Mean PT</t>
        </is>
      </c>
      <c r="I65" s="13" t="inlineStr">
        <is>
          <t>Mean INR x10</t>
        </is>
      </c>
    </row>
    <row r="66" ht="15" customHeight="1" s="14">
      <c r="B66" s="13" t="inlineStr">
        <is>
          <t>1-2 months</t>
        </is>
      </c>
      <c r="C66" s="13" t="n">
        <v>9.42</v>
      </c>
      <c r="D66" s="13" t="n">
        <v>7.3</v>
      </c>
      <c r="G66" s="13" t="inlineStr">
        <is>
          <t>Levofem (COC)</t>
        </is>
      </c>
      <c r="H66" s="13" t="n">
        <v>8.4</v>
      </c>
      <c r="I66" s="13" t="n">
        <v>6.5</v>
      </c>
    </row>
    <row r="67" ht="15" customHeight="1" s="14">
      <c r="B67" s="13" t="inlineStr">
        <is>
          <t>3-6 months</t>
        </is>
      </c>
      <c r="C67" s="13" t="n">
        <v>8.529999999999999</v>
      </c>
      <c r="D67" s="13" t="n">
        <v>6.6</v>
      </c>
      <c r="G67" s="13" t="inlineStr">
        <is>
          <t>Postinor (POP/E)</t>
        </is>
      </c>
      <c r="H67" s="13" t="n">
        <v>9.800000000000001</v>
      </c>
      <c r="I67" s="13" t="n">
        <v>7.6</v>
      </c>
    </row>
    <row r="68" ht="15" customHeight="1" s="14">
      <c r="B68" s="13" t="inlineStr">
        <is>
          <t>&lt;6mo stopped</t>
        </is>
      </c>
      <c r="C68" s="13" t="n">
        <v>8.710000000000001</v>
      </c>
      <c r="D68" s="13" t="n">
        <v>6.7</v>
      </c>
    </row>
    <row r="69" ht="15" customHeight="1" s="14">
      <c r="B69" s="13" t="inlineStr">
        <is>
          <t>&gt;1 year</t>
        </is>
      </c>
      <c r="C69" s="13" t="n">
        <v>8</v>
      </c>
      <c r="D69" s="13" t="n">
        <v>6.2</v>
      </c>
    </row>
  </sheetData>
  <mergeCells count="16">
    <mergeCell ref="E6:G7"/>
    <mergeCell ref="H6:J7"/>
    <mergeCell ref="K8:M8"/>
    <mergeCell ref="B5:D5"/>
    <mergeCell ref="B6:D7"/>
    <mergeCell ref="B2:N2"/>
    <mergeCell ref="E5:G5"/>
    <mergeCell ref="K5:M5"/>
    <mergeCell ref="H5:J5"/>
    <mergeCell ref="B8:D8"/>
    <mergeCell ref="E8:G8"/>
    <mergeCell ref="H8:J8"/>
    <mergeCell ref="B3:N3"/>
    <mergeCell ref="B43:N48"/>
    <mergeCell ref="K6:M7"/>
    <mergeCell ref="B42:N4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K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3" min="2" max="11"/>
  </cols>
  <sheetData>
    <row r="1" ht="15" customHeight="1" s="14">
      <c r="B1" s="33" t="inlineStr">
        <is>
          <t>Descriptive Statistics by Group</t>
        </is>
      </c>
    </row>
    <row r="2" ht="15" customHeight="1" s="14">
      <c r="B2" s="34" t="inlineStr">
        <is>
          <t>Parameter</t>
        </is>
      </c>
      <c r="C2" s="34" t="inlineStr">
        <is>
          <t>Group</t>
        </is>
      </c>
      <c r="D2" s="34" t="inlineStr">
        <is>
          <t>n</t>
        </is>
      </c>
      <c r="E2" s="34" t="inlineStr">
        <is>
          <t>Mean</t>
        </is>
      </c>
      <c r="F2" s="34" t="inlineStr">
        <is>
          <t>SD</t>
        </is>
      </c>
      <c r="G2" s="34" t="inlineStr">
        <is>
          <t>Median</t>
        </is>
      </c>
      <c r="H2" s="34" t="inlineStr">
        <is>
          <t>Min</t>
        </is>
      </c>
      <c r="I2" s="34" t="inlineStr">
        <is>
          <t>Max</t>
        </is>
      </c>
      <c r="J2" s="34" t="inlineStr">
        <is>
          <t>CI_Lower</t>
        </is>
      </c>
      <c r="K2" s="34" t="inlineStr">
        <is>
          <t>CI_Upper</t>
        </is>
      </c>
    </row>
    <row r="3" ht="15" customHeight="1" s="14">
      <c r="B3" s="35" t="inlineStr">
        <is>
          <t>PT (sec)</t>
        </is>
      </c>
      <c r="C3" s="35" t="inlineStr">
        <is>
          <t>OC Users</t>
        </is>
      </c>
      <c r="D3" s="35" t="n">
        <v>35</v>
      </c>
      <c r="E3" s="35" t="n">
        <v>8.800000000000001</v>
      </c>
      <c r="F3" s="35" t="n">
        <v>2.82</v>
      </c>
      <c r="G3" s="35" t="n">
        <v>8</v>
      </c>
      <c r="H3" s="35" t="n">
        <v>4</v>
      </c>
      <c r="I3" s="35" t="n">
        <v>16</v>
      </c>
      <c r="J3" s="35" t="n">
        <v>7.83</v>
      </c>
      <c r="K3" s="35" t="n">
        <v>9.77</v>
      </c>
    </row>
    <row r="4" ht="15" customHeight="1" s="14">
      <c r="B4" s="35" t="inlineStr">
        <is>
          <t>PT (sec)</t>
        </is>
      </c>
      <c r="C4" s="35" t="inlineStr">
        <is>
          <t>Non-Users</t>
        </is>
      </c>
      <c r="D4" s="35" t="n">
        <v>45</v>
      </c>
      <c r="E4" s="35" t="n">
        <v>11.78</v>
      </c>
      <c r="F4" s="35" t="n">
        <v>1.73</v>
      </c>
      <c r="G4" s="35" t="n">
        <v>12</v>
      </c>
      <c r="H4" s="35" t="n">
        <v>8</v>
      </c>
      <c r="I4" s="35" t="n">
        <v>16</v>
      </c>
      <c r="J4" s="35" t="n">
        <v>11.26</v>
      </c>
      <c r="K4" s="35" t="n">
        <v>12.3</v>
      </c>
    </row>
    <row r="5" ht="15" customHeight="1" s="14">
      <c r="B5" s="35" t="inlineStr">
        <is>
          <t>INR</t>
        </is>
      </c>
      <c r="C5" s="35" t="inlineStr">
        <is>
          <t>OC Users</t>
        </is>
      </c>
      <c r="D5" s="35" t="n">
        <v>35</v>
      </c>
      <c r="E5" s="35" t="n">
        <v>0.68</v>
      </c>
      <c r="F5" s="35" t="n">
        <v>0.23</v>
      </c>
      <c r="G5" s="35" t="n">
        <v>0.6</v>
      </c>
      <c r="H5" s="35" t="n">
        <v>0.3</v>
      </c>
      <c r="I5" s="35" t="n">
        <v>1.3</v>
      </c>
      <c r="J5" s="35" t="n">
        <v>0.6</v>
      </c>
      <c r="K5" s="35" t="n">
        <v>0.76</v>
      </c>
    </row>
    <row r="6" ht="15" customHeight="1" s="14">
      <c r="B6" s="35" t="inlineStr">
        <is>
          <t>INR</t>
        </is>
      </c>
      <c r="C6" s="35" t="inlineStr">
        <is>
          <t>Non-Users</t>
        </is>
      </c>
      <c r="D6" s="35" t="n">
        <v>45</v>
      </c>
      <c r="E6" s="35" t="n">
        <v>0.97</v>
      </c>
      <c r="F6" s="35" t="n">
        <v>0.15</v>
      </c>
      <c r="G6" s="35" t="n">
        <v>1</v>
      </c>
      <c r="H6" s="35" t="n">
        <v>0.6</v>
      </c>
      <c r="I6" s="35" t="n">
        <v>1.3</v>
      </c>
      <c r="J6" s="35" t="n">
        <v>0.92</v>
      </c>
      <c r="K6" s="35" t="n">
        <v>1.02</v>
      </c>
    </row>
    <row r="7" ht="15" customHeight="1" s="14">
      <c r="B7" s="35" t="inlineStr">
        <is>
          <t>aPTT (sec)</t>
        </is>
      </c>
      <c r="C7" s="35" t="inlineStr">
        <is>
          <t>OC Users</t>
        </is>
      </c>
      <c r="D7" s="35" t="n">
        <v>35</v>
      </c>
      <c r="E7" s="35" t="n">
        <v>25.57</v>
      </c>
      <c r="F7" s="35" t="n">
        <v>4.57</v>
      </c>
      <c r="G7" s="35" t="n">
        <v>25</v>
      </c>
      <c r="H7" s="35" t="n">
        <v>14</v>
      </c>
      <c r="I7" s="35" t="n">
        <v>34</v>
      </c>
      <c r="J7" s="35" t="n">
        <v>24</v>
      </c>
      <c r="K7" s="35" t="n">
        <v>27.14</v>
      </c>
    </row>
    <row r="8" ht="15" customHeight="1" s="14">
      <c r="B8" s="35" t="inlineStr">
        <is>
          <t>aPTT (sec)</t>
        </is>
      </c>
      <c r="C8" s="35" t="inlineStr">
        <is>
          <t>Non-Users</t>
        </is>
      </c>
      <c r="D8" s="35" t="n">
        <v>45</v>
      </c>
      <c r="E8" s="35" t="n">
        <v>25.82</v>
      </c>
      <c r="F8" s="35" t="n">
        <v>3.68</v>
      </c>
      <c r="G8" s="35" t="n">
        <v>26</v>
      </c>
      <c r="H8" s="35" t="n">
        <v>18</v>
      </c>
      <c r="I8" s="35" t="n">
        <v>40</v>
      </c>
      <c r="J8" s="35" t="n">
        <v>24.72</v>
      </c>
      <c r="K8" s="35" t="n">
        <v>26.92</v>
      </c>
    </row>
    <row r="11" ht="15" customHeight="1" s="14">
      <c r="B11" s="33" t="inlineStr">
        <is>
          <t>ANOVA Results — OC Users vs Non-Users</t>
        </is>
      </c>
    </row>
    <row r="12" ht="15" customHeight="1" s="14">
      <c r="B12" s="34" t="inlineStr">
        <is>
          <t>Parameter</t>
        </is>
      </c>
      <c r="C12" s="34" t="inlineStr">
        <is>
          <t>F-value</t>
        </is>
      </c>
      <c r="D12" s="34" t="inlineStr">
        <is>
          <t>p-value</t>
        </is>
      </c>
      <c r="E12" s="34" t="inlineStr">
        <is>
          <t>F-crit</t>
        </is>
      </c>
      <c r="F12" s="34" t="inlineStr">
        <is>
          <t>Significance</t>
        </is>
      </c>
    </row>
    <row r="13" ht="15" customHeight="1" s="14">
      <c r="B13" s="35" t="inlineStr">
        <is>
          <t>PT &amp; INR (combined)</t>
        </is>
      </c>
      <c r="C13" s="35" t="n">
        <v>1264.96</v>
      </c>
      <c r="D13" s="35" t="inlineStr">
        <is>
          <t>7.85E-87</t>
        </is>
      </c>
      <c r="E13" s="35" t="n">
        <v>3.06</v>
      </c>
      <c r="F13" s="35" t="inlineStr">
        <is>
          <t>Significant</t>
        </is>
      </c>
    </row>
    <row r="14" ht="15" customHeight="1" s="14">
      <c r="B14" s="35" t="inlineStr">
        <is>
          <t>aPTT</t>
        </is>
      </c>
      <c r="C14" s="35" t="n">
        <v>585.8</v>
      </c>
      <c r="D14" s="35" t="inlineStr">
        <is>
          <t>1.21E-56</t>
        </is>
      </c>
      <c r="E14" s="35" t="n">
        <v>3.09</v>
      </c>
      <c r="F14" s="35" t="inlineStr">
        <is>
          <t>Significant</t>
        </is>
      </c>
    </row>
    <row r="17" ht="15" customHeight="1" s="14">
      <c r="B17" s="33" t="inlineStr">
        <is>
          <t>Coagulation Parameters by Duration of OC Use</t>
        </is>
      </c>
    </row>
    <row r="18" ht="15" customHeight="1" s="14">
      <c r="B18" s="34" t="inlineStr">
        <is>
          <t>Duration</t>
        </is>
      </c>
      <c r="C18" s="34" t="inlineStr">
        <is>
          <t>n</t>
        </is>
      </c>
      <c r="D18" s="34" t="inlineStr">
        <is>
          <t>Mean_PT</t>
        </is>
      </c>
      <c r="E18" s="34" t="inlineStr">
        <is>
          <t>Mean_INR</t>
        </is>
      </c>
      <c r="F18" s="34" t="inlineStr">
        <is>
          <t>Mean_aPTT</t>
        </is>
      </c>
    </row>
    <row r="19" ht="15" customHeight="1" s="14">
      <c r="B19" s="35" t="inlineStr">
        <is>
          <t>1-2 months</t>
        </is>
      </c>
      <c r="C19" s="35" t="n">
        <v>12</v>
      </c>
      <c r="D19" s="35" t="n">
        <v>9.42</v>
      </c>
      <c r="E19" s="35" t="n">
        <v>0.73</v>
      </c>
      <c r="F19" s="35" t="n">
        <v>26.08</v>
      </c>
    </row>
    <row r="20" ht="15" customHeight="1" s="14">
      <c r="B20" s="35" t="inlineStr">
        <is>
          <t>3-6 months</t>
        </is>
      </c>
      <c r="C20" s="35" t="n">
        <v>15</v>
      </c>
      <c r="D20" s="35" t="n">
        <v>8.529999999999999</v>
      </c>
      <c r="E20" s="35" t="n">
        <v>0.66</v>
      </c>
      <c r="F20" s="35" t="n">
        <v>25.4</v>
      </c>
    </row>
    <row r="21" ht="15" customHeight="1" s="14">
      <c r="B21" s="35" t="inlineStr">
        <is>
          <t>&lt;6 months (stopped)</t>
        </is>
      </c>
      <c r="C21" s="35" t="n">
        <v>7</v>
      </c>
      <c r="D21" s="35" t="n">
        <v>8.710000000000001</v>
      </c>
      <c r="E21" s="35" t="n">
        <v>0.67</v>
      </c>
      <c r="F21" s="35" t="n">
        <v>25.57</v>
      </c>
    </row>
    <row r="22" ht="15" customHeight="1" s="14">
      <c r="B22" s="35" t="inlineStr">
        <is>
          <t>&gt;1 year</t>
        </is>
      </c>
      <c r="C22" s="35" t="n">
        <v>1</v>
      </c>
      <c r="D22" s="35" t="n">
        <v>8</v>
      </c>
      <c r="E22" s="35" t="n">
        <v>0.62</v>
      </c>
      <c r="F22" s="35" t="n">
        <v>24.9</v>
      </c>
    </row>
    <row r="24" ht="15" customHeight="1" s="14">
      <c r="B24" s="33" t="inlineStr">
        <is>
          <t>Coagulation Parameters by OC Brand</t>
        </is>
      </c>
    </row>
    <row r="25" ht="15" customHeight="1" s="14">
      <c r="B25" s="34" t="inlineStr">
        <is>
          <t>OC Brand</t>
        </is>
      </c>
      <c r="C25" s="34" t="inlineStr">
        <is>
          <t>n</t>
        </is>
      </c>
      <c r="D25" s="34" t="inlineStr">
        <is>
          <t>Mean_PT</t>
        </is>
      </c>
      <c r="E25" s="34" t="inlineStr">
        <is>
          <t>Mean_INR</t>
        </is>
      </c>
      <c r="F25" s="34" t="inlineStr">
        <is>
          <t>Mean_aPTT</t>
        </is>
      </c>
    </row>
    <row r="26" ht="15" customHeight="1" s="14">
      <c r="B26" s="35" t="inlineStr">
        <is>
          <t>Levofem (COC)</t>
        </is>
      </c>
      <c r="C26" s="35" t="n">
        <v>26</v>
      </c>
      <c r="D26" s="35" t="n">
        <v>8.4</v>
      </c>
      <c r="E26" s="35" t="n">
        <v>0.65</v>
      </c>
      <c r="F26" s="35" t="n">
        <v>25.3</v>
      </c>
    </row>
    <row r="27" ht="15" customHeight="1" s="14">
      <c r="B27" s="35" t="inlineStr">
        <is>
          <t>Postinor (POP/E)</t>
        </is>
      </c>
      <c r="C27" s="35" t="n">
        <v>9</v>
      </c>
      <c r="D27" s="35" t="n">
        <v>9.800000000000001</v>
      </c>
      <c r="E27" s="35" t="n">
        <v>0.76</v>
      </c>
      <c r="F27" s="35" t="n">
        <v>26.2</v>
      </c>
    </row>
    <row r="29" ht="15" customHeight="1" s="14">
      <c r="B29" s="33" t="inlineStr">
        <is>
          <t>Multivariate Regression — Age vs Coagulation Parameters</t>
        </is>
      </c>
    </row>
    <row r="30" ht="15" customHeight="1" s="14">
      <c r="B30" s="34" t="inlineStr">
        <is>
          <t>Parameter</t>
        </is>
      </c>
      <c r="C30" s="34" t="inlineStr">
        <is>
          <t>Group</t>
        </is>
      </c>
      <c r="D30" s="34" t="inlineStr">
        <is>
          <t>R2</t>
        </is>
      </c>
      <c r="E30" s="34" t="inlineStr">
        <is>
          <t>Sig_F</t>
        </is>
      </c>
      <c r="F30" s="34" t="inlineStr">
        <is>
          <t>Conclusion</t>
        </is>
      </c>
    </row>
    <row r="31" ht="15" customHeight="1" s="14">
      <c r="B31" s="35" t="inlineStr">
        <is>
          <t>PT</t>
        </is>
      </c>
      <c r="C31" s="35" t="inlineStr">
        <is>
          <t>OC Users</t>
        </is>
      </c>
      <c r="D31" s="35" t="n">
        <v>0.013</v>
      </c>
      <c r="E31" s="35" t="n">
        <v>0.515</v>
      </c>
      <c r="F31" s="35" t="inlineStr">
        <is>
          <t>Not significant</t>
        </is>
      </c>
    </row>
    <row r="32" ht="15" customHeight="1" s="14">
      <c r="B32" s="35" t="inlineStr">
        <is>
          <t>PT</t>
        </is>
      </c>
      <c r="C32" s="35" t="inlineStr">
        <is>
          <t>Non-Users</t>
        </is>
      </c>
      <c r="D32" s="35" t="n">
        <v>0.025</v>
      </c>
      <c r="E32" s="35" t="n">
        <v>0.295</v>
      </c>
      <c r="F32" s="35" t="inlineStr">
        <is>
          <t>Not significant</t>
        </is>
      </c>
    </row>
    <row r="33" ht="15" customHeight="1" s="14">
      <c r="B33" s="35" t="inlineStr">
        <is>
          <t>INR</t>
        </is>
      </c>
      <c r="C33" s="35" t="inlineStr">
        <is>
          <t>OC Users</t>
        </is>
      </c>
      <c r="D33" s="35" t="n">
        <v>0.005</v>
      </c>
      <c r="E33" s="35" t="n">
        <v>0.694</v>
      </c>
      <c r="F33" s="35" t="inlineStr">
        <is>
          <t>Not significant</t>
        </is>
      </c>
    </row>
    <row r="34" ht="15" customHeight="1" s="14">
      <c r="B34" s="35" t="inlineStr">
        <is>
          <t>INR</t>
        </is>
      </c>
      <c r="C34" s="35" t="inlineStr">
        <is>
          <t>Non-Users</t>
        </is>
      </c>
      <c r="D34" s="35" t="n">
        <v>0.037</v>
      </c>
      <c r="E34" s="35" t="n">
        <v>0.205</v>
      </c>
      <c r="F34" s="35" t="inlineStr">
        <is>
          <t>Not significant</t>
        </is>
      </c>
    </row>
    <row r="35" ht="15" customHeight="1" s="14">
      <c r="B35" s="35" t="inlineStr">
        <is>
          <t>aPTT</t>
        </is>
      </c>
      <c r="C35" s="35" t="inlineStr">
        <is>
          <t>OC Users</t>
        </is>
      </c>
      <c r="D35" s="35" t="n">
        <v>0.036</v>
      </c>
      <c r="E35" s="35" t="n">
        <v>0.28</v>
      </c>
      <c r="F35" s="35" t="inlineStr">
        <is>
          <t>Not significant</t>
        </is>
      </c>
    </row>
    <row r="36" ht="15" customHeight="1" s="14">
      <c r="B36" s="35" t="inlineStr">
        <is>
          <t>aPTT</t>
        </is>
      </c>
      <c r="C36" s="35" t="inlineStr">
        <is>
          <t>Non-Users</t>
        </is>
      </c>
      <c r="D36" s="35" t="n">
        <v>0</v>
      </c>
      <c r="E36" s="35" t="n">
        <v>0.908</v>
      </c>
      <c r="F36" s="35" t="inlineStr">
        <is>
          <t>Not significant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2026-06-19T11:54:21Z</dcterms:created>
  <dcterms:modified xmlns:dcterms="http://purl.org/dc/terms/" xmlns:xsi="http://www.w3.org/2001/XMLSchema-instance" xsi:type="dcterms:W3CDTF">2026-06-19T11:56:17Z</dcterms:modified>
  <cp:revision>1</cp:revision>
</cp:coreProperties>
</file>